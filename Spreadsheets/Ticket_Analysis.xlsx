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thi\OneDrive\Desktop\Data_Analyst_Assignment\Spreadsheets\"/>
    </mc:Choice>
  </mc:AlternateContent>
  <xr:revisionPtr revIDLastSave="0" documentId="13_ncr:1_{52A0F86F-77C9-4488-B845-931C3FCDF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" sheetId="1" r:id="rId1"/>
    <sheet name="feedbacks" sheetId="2" r:id="rId2"/>
  </sheets>
  <calcPr calcId="191029"/>
  <pivotCaches>
    <pivotCache cacheId="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  <c r="G6" i="1"/>
  <c r="F6" i="1"/>
  <c r="B6" i="1"/>
  <c r="G5" i="1"/>
  <c r="F5" i="1"/>
  <c r="B5" i="1"/>
  <c r="G4" i="1"/>
  <c r="F4" i="1"/>
  <c r="B4" i="1"/>
  <c r="G3" i="1"/>
  <c r="F3" i="1"/>
  <c r="B3" i="1"/>
  <c r="G2" i="1"/>
  <c r="F2" i="1"/>
  <c r="B2" i="1"/>
</calcChain>
</file>

<file path=xl/sharedStrings.xml><?xml version="1.0" encoding="utf-8"?>
<sst xmlns="http://schemas.openxmlformats.org/spreadsheetml/2006/main" count="35" uniqueCount="26">
  <si>
    <t xml:space="preserve">ticket_id </t>
  </si>
  <si>
    <t>cms_id</t>
  </si>
  <si>
    <t>created_at</t>
  </si>
  <si>
    <t>closed_at</t>
  </si>
  <si>
    <t>outlet_id</t>
  </si>
  <si>
    <t>Same_day</t>
  </si>
  <si>
    <t>Same_day_hour</t>
  </si>
  <si>
    <t>T1</t>
  </si>
  <si>
    <t>O1</t>
  </si>
  <si>
    <t>T2</t>
  </si>
  <si>
    <t>O2</t>
  </si>
  <si>
    <t>T3</t>
  </si>
  <si>
    <t>T4</t>
  </si>
  <si>
    <t>T5</t>
  </si>
  <si>
    <t>COUNTA of Same_day</t>
  </si>
  <si>
    <t>COUNTA of Same_day_hour</t>
  </si>
  <si>
    <t>Grand Total</t>
  </si>
  <si>
    <t>feedback_at</t>
  </si>
  <si>
    <t>feedback_rating</t>
  </si>
  <si>
    <t>ticket_created_at</t>
  </si>
  <si>
    <t>C1</t>
  </si>
  <si>
    <t>C2</t>
  </si>
  <si>
    <t>C3</t>
  </si>
  <si>
    <t>C4</t>
  </si>
  <si>
    <t/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</si>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</sst>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5">
    <font>
      <sz val="10"/>
      <color rgb="FF000000"/>
      <name val="Arial"/>
      <scheme val="minor"/>
    </font>
    <font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&quot;Aptos Narrow&quot;"/>
    </font>
    <font>
      <sz val="10"/>
      <color rgb="FFEB5757"/>
      <name val="Arial"/>
    </font>
  </fonts>
  <fills count="3">
    <fill>
      <patternFill patternType="none"/>
    </fill>
    <fill>
      <patternFill patternType="gray125"/>
    </fill>
    <fill>
      <patternFill patternType="solid">
        <fgColor rgb="FF878378"/>
        <bgColor rgb="FF878378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164" fontId="2" fillId="0" borderId="0" xfId="0" applyNumberFormat="1" applyFont="1"/>
    <xf numFmtId="14" fontId="2" fillId="0" borderId="0" xfId="0" applyNumberFormat="1" applyFont="1"/>
    <xf numFmtId="0" fontId="4" fillId="2" borderId="0" xfId="0" applyFont="1" applyFill="1"/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pivotButton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ithin Sai" refreshedDate="46121.70269085648" refreshedVersion="8" recordCount="5" xr:uid="{00000000-000A-0000-FFFF-FFFF00000000}">
  <cacheSource type="worksheet">
    <worksheetSource ref="A1:G6" sheet="ticket"/>
  </cacheSource>
  <cacheFields count="7">
    <cacheField name="ticket_id " numFmtId="0">
      <sharedItems/>
    </cacheField>
    <cacheField name="cms_id" numFmtId="0">
      <sharedItems/>
    </cacheField>
    <cacheField name="created_at" numFmtId="164">
      <sharedItems containsSemiMixedTypes="0" containsNonDate="0" containsDate="1" containsString="0" minDate="2021-08-19T16:45:43" maxDate="2021-08-23T14:00:00"/>
    </cacheField>
    <cacheField name="closed_at" numFmtId="164">
      <sharedItems containsSemiMixedTypes="0" containsNonDate="0" containsDate="1" containsString="0" minDate="2021-08-21T10:30:00" maxDate="2021-08-23T16:00:00"/>
    </cacheField>
    <cacheField name="outlet_id" numFmtId="0">
      <sharedItems count="2">
        <s v="O1"/>
        <s v="O2"/>
      </sharedItems>
    </cacheField>
    <cacheField name="Same_day" numFmtId="0">
      <sharedItems count="2">
        <b v="0"/>
        <b v="1"/>
      </sharedItems>
    </cacheField>
    <cacheField name="Same_day_hou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s v="T1"/>
    <s v="C1"/>
    <d v="2021-08-19T16:45:43"/>
    <d v="2021-08-22T12:33:32"/>
    <x v="0"/>
    <x v="0"/>
    <b v="0"/>
  </r>
  <r>
    <s v="T2"/>
    <s v="C2"/>
    <d v="2021-08-21T11:09:22"/>
    <d v="2021-08-21T17:13:45"/>
    <x v="1"/>
    <x v="1"/>
    <b v="0"/>
  </r>
  <r>
    <s v="T3"/>
    <s v="C3"/>
    <d v="2021-08-21T10:00:00"/>
    <d v="2021-08-21T10:30:00"/>
    <x v="0"/>
    <x v="1"/>
    <b v="1"/>
  </r>
  <r>
    <s v="T4"/>
    <s v="C4"/>
    <d v="2021-08-22T09:00:00"/>
    <d v="2021-08-22T09:00:00"/>
    <x v="1"/>
    <x v="1"/>
    <b v="1"/>
  </r>
  <r>
    <s v="T5"/>
    <s v="C5"/>
    <d v="2021-08-23T14:00:00"/>
    <d v="2021-08-23T16:00:00"/>
    <x v="0"/>
    <x v="1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icket" cacheId="5" applyNumberFormats="0" applyBorderFormats="0" applyFontFormats="0" applyPatternFormats="0" applyAlignmentFormats="0" applyWidthHeightFormats="0" dataCaption="" updatedVersion="8" compact="0" compactData="0">
  <location ref="A10:C14" firstHeaderRow="1" firstDataRow="2" firstDataCol="1" rowPageCount="1" colPageCount="1"/>
  <pivotFields count="7">
    <pivotField name="ticket_id " compact="0" outline="0" multipleItemSelectionAllowed="1" showAll="0"/>
    <pivotField name="cms_id" compact="0" outline="0" multipleItemSelectionAllowed="1" showAll="0"/>
    <pivotField name="created_at" compact="0" numFmtId="164" outline="0" multipleItemSelectionAllowed="1" showAll="0"/>
    <pivotField name="closed_at" compact="0" numFmtId="164" outline="0" multipleItemSelectionAllowed="1" showAll="0"/>
    <pivotField name="outlet_id" axis="axisRow" compact="0" outline="0" multipleItemSelectionAllowed="1" showAll="0" sortType="ascending">
      <items count="3">
        <item x="0"/>
        <item x="1"/>
        <item t="default"/>
      </items>
    </pivotField>
    <pivotField name="Same_day" axis="axisPage" dataField="1" compact="0" outline="0" multipleItemSelectionAllowed="1" showAll="0">
      <items count="3">
        <item h="1" x="0"/>
        <item x="1"/>
        <item t="default"/>
      </items>
    </pivotField>
    <pivotField name="Same_day_hour" dataField="1" compact="0" outline="0" multipleItemSelectionAllowed="1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5" hier="0"/>
  </pageFields>
  <dataFields count="2">
    <dataField name="COUNTA of Same_day" fld="5" subtotal="count" baseField="0"/>
    <dataField name="COUNTA of Same_day_hour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4"/>
  <sheetViews>
    <sheetView tabSelected="1" workbookViewId="0"/>
  </sheetViews>
  <sheetFormatPr defaultColWidth="12.6640625" defaultRowHeight="15.75" customHeight="1"/>
  <cols>
    <col min="3" max="3" width="22.77734375" customWidth="1"/>
    <col min="4" max="4" width="29" customWidth="1"/>
  </cols>
  <sheetData>
    <row r="1" spans="1:8">
      <c r="A1" s="1" t="s">
        <v>0</v>
      </c>
      <c r="B1" s="2" t="s">
        <v>1</v>
      </c>
      <c r="C1" s="3" t="s">
        <v>2</v>
      </c>
      <c r="D1" s="3" t="s">
        <v>3</v>
      </c>
      <c r="E1" s="1" t="s">
        <v>4</v>
      </c>
      <c r="F1" s="2" t="s">
        <v>5</v>
      </c>
      <c r="G1" s="2" t="s">
        <v>6</v>
      </c>
    </row>
    <row r="2" spans="1:8">
      <c r="A2" s="4" t="s">
        <v>7</v>
      </c>
      <c r="B2" s="2" t="str">
        <f t="shared" ref="B2:B6" si="0">CONCATENATE("C",RIGHT(A2,LEN(A2) - 1))</f>
        <v>C1</v>
      </c>
      <c r="C2" s="5">
        <v>44427.698414351849</v>
      </c>
      <c r="D2" s="5">
        <v>44430.523287037038</v>
      </c>
      <c r="E2" s="1" t="s">
        <v>8</v>
      </c>
      <c r="F2" s="2" t="b">
        <f t="shared" ref="F2:F6" si="1">INT(C2)=INT(D2)</f>
        <v>0</v>
      </c>
      <c r="G2" s="2" t="b">
        <f t="shared" ref="G2:G6" si="2">(AND(INT(C2)=INT(D2), HOUR(C2)=HOUR(D2)))</f>
        <v>0</v>
      </c>
      <c r="H2" s="6"/>
    </row>
    <row r="3" spans="1:8">
      <c r="A3" s="4" t="s">
        <v>9</v>
      </c>
      <c r="B3" s="2" t="str">
        <f t="shared" si="0"/>
        <v>C2</v>
      </c>
      <c r="C3" s="5">
        <v>44429.464837962965</v>
      </c>
      <c r="D3" s="5">
        <v>44429.717881944445</v>
      </c>
      <c r="E3" s="1" t="s">
        <v>10</v>
      </c>
      <c r="F3" s="2" t="b">
        <f t="shared" si="1"/>
        <v>1</v>
      </c>
      <c r="G3" s="2" t="b">
        <f t="shared" si="2"/>
        <v>0</v>
      </c>
    </row>
    <row r="4" spans="1:8">
      <c r="A4" s="4" t="s">
        <v>11</v>
      </c>
      <c r="B4" s="2" t="str">
        <f t="shared" si="0"/>
        <v>C3</v>
      </c>
      <c r="C4" s="5">
        <v>44429.416666666664</v>
      </c>
      <c r="D4" s="5">
        <v>44429.4375</v>
      </c>
      <c r="E4" s="1" t="s">
        <v>8</v>
      </c>
      <c r="F4" s="2" t="b">
        <f t="shared" si="1"/>
        <v>1</v>
      </c>
      <c r="G4" s="2" t="b">
        <f t="shared" si="2"/>
        <v>1</v>
      </c>
    </row>
    <row r="5" spans="1:8">
      <c r="A5" s="4" t="s">
        <v>12</v>
      </c>
      <c r="B5" s="2" t="str">
        <f t="shared" si="0"/>
        <v>C4</v>
      </c>
      <c r="C5" s="5">
        <v>44430.375</v>
      </c>
      <c r="D5" s="5">
        <v>44430.375</v>
      </c>
      <c r="E5" s="1" t="s">
        <v>10</v>
      </c>
      <c r="F5" s="2" t="b">
        <f t="shared" si="1"/>
        <v>1</v>
      </c>
      <c r="G5" s="2" t="b">
        <f t="shared" si="2"/>
        <v>1</v>
      </c>
    </row>
    <row r="6" spans="1:8">
      <c r="A6" s="4" t="s">
        <v>13</v>
      </c>
      <c r="B6" s="2" t="str">
        <f t="shared" si="0"/>
        <v>C5</v>
      </c>
      <c r="C6" s="5">
        <v>44431.583333333336</v>
      </c>
      <c r="D6" s="5">
        <v>44431.666666666664</v>
      </c>
      <c r="E6" s="1" t="s">
        <v>8</v>
      </c>
      <c r="F6" s="2" t="b">
        <f t="shared" si="1"/>
        <v>1</v>
      </c>
      <c r="G6" s="2" t="b">
        <f t="shared" si="2"/>
        <v>0</v>
      </c>
    </row>
    <row r="8" spans="1:8" ht="15.75" customHeight="1">
      <c r="A8" s="20" t="s">
        <v>5</v>
      </c>
      <c r="B8" s="21" t="s">
        <v>25</v>
      </c>
    </row>
    <row r="10" spans="1:8">
      <c r="A10" s="8"/>
      <c r="B10" s="9" t="s">
        <v>24</v>
      </c>
      <c r="C10" s="10"/>
    </row>
    <row r="11" spans="1:8">
      <c r="A11" s="9" t="s">
        <v>4</v>
      </c>
      <c r="B11" s="8" t="s">
        <v>14</v>
      </c>
      <c r="C11" s="11" t="s">
        <v>15</v>
      </c>
    </row>
    <row r="12" spans="1:8">
      <c r="A12" s="8" t="s">
        <v>8</v>
      </c>
      <c r="B12" s="12">
        <v>2</v>
      </c>
      <c r="C12" s="13">
        <v>2</v>
      </c>
    </row>
    <row r="13" spans="1:8">
      <c r="A13" s="14" t="s">
        <v>10</v>
      </c>
      <c r="B13" s="15">
        <v>2</v>
      </c>
      <c r="C13" s="16">
        <v>2</v>
      </c>
    </row>
    <row r="14" spans="1:8" ht="15.75" customHeight="1">
      <c r="A14" s="17" t="s">
        <v>16</v>
      </c>
      <c r="B14" s="18">
        <v>4</v>
      </c>
      <c r="C14" s="1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6"/>
  <sheetViews>
    <sheetView workbookViewId="0"/>
  </sheetViews>
  <sheetFormatPr defaultColWidth="12.6640625" defaultRowHeight="15.75" customHeight="1"/>
  <cols>
    <col min="2" max="2" width="21.77734375" customWidth="1"/>
    <col min="4" max="4" width="35.88671875" customWidth="1"/>
  </cols>
  <sheetData>
    <row r="1" spans="1:5">
      <c r="A1" s="2" t="s">
        <v>1</v>
      </c>
      <c r="B1" s="2" t="s">
        <v>17</v>
      </c>
      <c r="C1" s="2" t="s">
        <v>18</v>
      </c>
      <c r="D1" s="2" t="s">
        <v>19</v>
      </c>
    </row>
    <row r="2" spans="1:5">
      <c r="A2" s="2" t="s">
        <v>20</v>
      </c>
      <c r="B2" s="5">
        <v>44429.560277777775</v>
      </c>
      <c r="C2" s="2">
        <v>3</v>
      </c>
      <c r="D2" s="5">
        <f>VLOOKUP(A2, ticket!B:E, 2, FALSE)</f>
        <v>44427.698414351849</v>
      </c>
      <c r="E2" s="7"/>
    </row>
    <row r="3" spans="1:5">
      <c r="A3" s="2" t="s">
        <v>21</v>
      </c>
      <c r="B3" s="5">
        <v>44430.416666666664</v>
      </c>
      <c r="C3" s="2">
        <v>4</v>
      </c>
      <c r="D3" s="5">
        <f>VLOOKUP(A3, ticket!B:E, 3, FALSE)</f>
        <v>44429.717881944445</v>
      </c>
    </row>
    <row r="4" spans="1:5">
      <c r="A4" s="2" t="s">
        <v>22</v>
      </c>
      <c r="B4" s="5">
        <v>44429.458333333336</v>
      </c>
      <c r="C4" s="2">
        <v>5</v>
      </c>
      <c r="D4" s="5">
        <f>VLOOKUP(A4, ticket!B:E, 3, FALSE)</f>
        <v>44429.4375</v>
      </c>
    </row>
    <row r="5" spans="1:5">
      <c r="A5" s="2" t="s">
        <v>23</v>
      </c>
      <c r="B5" s="5">
        <v>44430.4375</v>
      </c>
      <c r="C5" s="2">
        <v>2</v>
      </c>
      <c r="D5" s="5">
        <f>VLOOKUP(A5, ticket!B:E, 3, FALSE)</f>
        <v>44430.375</v>
      </c>
    </row>
    <row r="6" spans="1:5">
      <c r="A6" s="2" t="s">
        <v>23</v>
      </c>
      <c r="B6" s="5">
        <v>44431.708333333336</v>
      </c>
      <c r="C6" s="2">
        <v>5</v>
      </c>
      <c r="D6" s="5">
        <f>VLOOKUP(A6, ticket!B:E, 3, FALSE)</f>
        <v>44430.375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Nithin Sai</cp:lastModifiedBy>
  <dcterms:modified xsi:type="dcterms:W3CDTF">2026-04-09T11:22:02Z</dcterms:modified>
</cp:coreProperties>
</file>